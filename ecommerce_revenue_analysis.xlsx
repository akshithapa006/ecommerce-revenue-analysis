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ocuments\EXCEL SHEET\"/>
    </mc:Choice>
  </mc:AlternateContent>
  <xr:revisionPtr revIDLastSave="0" documentId="8_{6EB9FADE-5A90-4D5B-AEA4-7E77B2D0CDE7}" xr6:coauthVersionLast="47" xr6:coauthVersionMax="47" xr10:uidLastSave="{00000000-0000-0000-0000-000000000000}"/>
  <bookViews>
    <workbookView xWindow="-108" yWindow="-108" windowWidth="23256" windowHeight="12456" xr2:uid="{C7BD887B-22F2-4B73-B226-CDC94B1B13A2}"/>
  </bookViews>
  <sheets>
    <sheet name="Customerss" sheetId="1" r:id="rId1"/>
    <sheet name="Order_Item" sheetId="2" r:id="rId2"/>
    <sheet name="Orderss" sheetId="3" r:id="rId3"/>
    <sheet name="KPI's" sheetId="4" r:id="rId4"/>
    <sheet name="Monthly Revenue" sheetId="5" r:id="rId5"/>
    <sheet name="Product Revenue" sheetId="7" r:id="rId6"/>
    <sheet name="Top Customers" sheetId="8" r:id="rId7"/>
    <sheet name="Cond. Formatting(Top Product)" sheetId="10" r:id="rId8"/>
    <sheet name="Cond. Formatting(Cust. Above Av" sheetId="11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3" i="2"/>
  <c r="F4" i="2"/>
  <c r="F5" i="2"/>
  <c r="F6" i="2"/>
  <c r="F7" i="2"/>
  <c r="F8" i="2"/>
  <c r="F9" i="2"/>
  <c r="F2" i="2"/>
  <c r="E10" i="3"/>
  <c r="D2" i="4" s="1"/>
  <c r="E3" i="3"/>
  <c r="E4" i="3"/>
  <c r="E5" i="3"/>
  <c r="E6" i="3"/>
  <c r="E7" i="3"/>
  <c r="E8" i="3"/>
  <c r="E9" i="3"/>
  <c r="E2" i="3"/>
  <c r="C2" i="4"/>
  <c r="B2" i="4"/>
  <c r="A2" i="4"/>
</calcChain>
</file>

<file path=xl/sharedStrings.xml><?xml version="1.0" encoding="utf-8"?>
<sst xmlns="http://schemas.openxmlformats.org/spreadsheetml/2006/main" count="69" uniqueCount="47">
  <si>
    <t>Rahul</t>
  </si>
  <si>
    <t>Delhi</t>
  </si>
  <si>
    <t>Akshit</t>
  </si>
  <si>
    <t>Mumbai</t>
  </si>
  <si>
    <t>Neha</t>
  </si>
  <si>
    <t>Pune</t>
  </si>
  <si>
    <t>Aman</t>
  </si>
  <si>
    <t>Priya</t>
  </si>
  <si>
    <t>Bangalore</t>
  </si>
  <si>
    <t>Rohan</t>
  </si>
  <si>
    <t>customer_id</t>
  </si>
  <si>
    <t>customer_name</t>
  </si>
  <si>
    <t>city</t>
  </si>
  <si>
    <t>signup_date</t>
  </si>
  <si>
    <t>Laptop</t>
  </si>
  <si>
    <t>Mouse</t>
  </si>
  <si>
    <t>Phone</t>
  </si>
  <si>
    <t>Keyboard</t>
  </si>
  <si>
    <t>Tablet</t>
  </si>
  <si>
    <t>Monitor</t>
  </si>
  <si>
    <t>item_id</t>
  </si>
  <si>
    <t>order_id</t>
  </si>
  <si>
    <t>product_name</t>
  </si>
  <si>
    <t>quantity</t>
  </si>
  <si>
    <t>price</t>
  </si>
  <si>
    <t>order_date</t>
  </si>
  <si>
    <t>order_amount</t>
  </si>
  <si>
    <t>Total Revenue</t>
  </si>
  <si>
    <t>Total Orders</t>
  </si>
  <si>
    <t>Average Order Values</t>
  </si>
  <si>
    <t>Top Customer Revenue</t>
  </si>
  <si>
    <t>Total Customer Revenue</t>
  </si>
  <si>
    <t>Grand Total</t>
  </si>
  <si>
    <t>Jan</t>
  </si>
  <si>
    <t>Feb</t>
  </si>
  <si>
    <t>Mar</t>
  </si>
  <si>
    <t>Apr</t>
  </si>
  <si>
    <t>May</t>
  </si>
  <si>
    <t>Monthly Revenue</t>
  </si>
  <si>
    <t>Months</t>
  </si>
  <si>
    <t>Quantity*Price</t>
  </si>
  <si>
    <t>Product Revenue</t>
  </si>
  <si>
    <t>Product_Name</t>
  </si>
  <si>
    <t xml:space="preserve"> </t>
  </si>
  <si>
    <t>Top 3 Customers</t>
  </si>
  <si>
    <t>Product Count</t>
  </si>
  <si>
    <t>Average Customer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</si>
</sst>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38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[ecommerce_revenue_analysis.xlsx]Monthly Revenue!PivotTable1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</a:t>
            </a:r>
          </a:p>
        </c:rich>
      </c:tx>
      <c:layout>
        <c:manualLayout>
          <c:xMode val="edge"/>
          <c:yMode val="edge"/>
          <c:x val="0.34386111111111112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Revenue'!$A$4:$A$8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Revenue'!$B$4:$B$8</c:f>
              <c:numCache>
                <c:formatCode>General</c:formatCode>
                <c:ptCount val="5"/>
                <c:pt idx="0">
                  <c:v>16000</c:v>
                </c:pt>
                <c:pt idx="1">
                  <c:v>11000</c:v>
                </c:pt>
                <c:pt idx="2">
                  <c:v>25000</c:v>
                </c:pt>
                <c:pt idx="3">
                  <c:v>25000</c:v>
                </c:pt>
                <c:pt idx="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E-4551-8ADE-C9C091AFB3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74464"/>
        <c:axId val="2884064"/>
      </c:lineChart>
      <c:catAx>
        <c:axId val="287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064"/>
        <c:crosses val="autoZero"/>
        <c:auto val="1"/>
        <c:lblAlgn val="ctr"/>
        <c:lblOffset val="100"/>
        <c:noMultiLvlLbl val="0"/>
      </c:catAx>
      <c:valAx>
        <c:axId val="2884064"/>
        <c:scaling>
          <c:orientation val="minMax"/>
        </c:scaling>
        <c:delete val="0"/>
        <c:axPos val="l"/>
        <c:numFmt formatCode="[$$-409]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[ecommerce_revenue_analysis.xlsx]Product Revenue!PivotTable3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Revenue</a:t>
            </a:r>
          </a:p>
        </c:rich>
      </c:tx>
      <c:layout>
        <c:manualLayout>
          <c:xMode val="edge"/>
          <c:yMode val="edge"/>
          <c:x val="0.35439566929133853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Revenue'!$A$4:$A$9</c:f>
              <c:strCache>
                <c:ptCount val="6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Phone</c:v>
                </c:pt>
                <c:pt idx="5">
                  <c:v>Tablet</c:v>
                </c:pt>
              </c:strCache>
            </c:strRef>
          </c:cat>
          <c:val>
            <c:numRef>
              <c:f>'Product Revenue'!$B$4:$B$9</c:f>
              <c:numCache>
                <c:formatCode>General</c:formatCode>
                <c:ptCount val="6"/>
                <c:pt idx="0">
                  <c:v>2000</c:v>
                </c:pt>
                <c:pt idx="1">
                  <c:v>13000</c:v>
                </c:pt>
                <c:pt idx="2">
                  <c:v>4000</c:v>
                </c:pt>
                <c:pt idx="3">
                  <c:v>4000</c:v>
                </c:pt>
                <c:pt idx="4">
                  <c:v>16000</c:v>
                </c:pt>
                <c:pt idx="5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C-4B9A-A5A3-E117566007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909984"/>
        <c:axId val="2914304"/>
      </c:barChart>
      <c:catAx>
        <c:axId val="29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304"/>
        <c:crosses val="autoZero"/>
        <c:auto val="1"/>
        <c:lblAlgn val="ctr"/>
        <c:lblOffset val="100"/>
        <c:noMultiLvlLbl val="0"/>
      </c:catAx>
      <c:valAx>
        <c:axId val="29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[ecommerce_revenue_analysis.xlsx]Top Customers!PivotTable4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3 Customers by Revenue Contribution</a:t>
            </a:r>
            <a:endParaRPr lang="en-IN"/>
          </a:p>
        </c:rich>
      </c:tx>
      <c:layout>
        <c:manualLayout>
          <c:xMode val="edge"/>
          <c:yMode val="edge"/>
          <c:x val="0.23655555555555555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Customers'!$A$4:$A$6</c:f>
              <c:strCache>
                <c:ptCount val="3"/>
                <c:pt idx="0">
                  <c:v>5</c:v>
                </c:pt>
                <c:pt idx="1">
                  <c:v>1</c:v>
                </c:pt>
                <c:pt idx="2">
                  <c:v>3</c:v>
                </c:pt>
              </c:strCache>
            </c:strRef>
          </c:cat>
          <c:val>
            <c:numRef>
              <c:f>'Top Customers'!$B$4:$B$6</c:f>
              <c:numCache>
                <c:formatCode>General</c:formatCode>
                <c:ptCount val="3"/>
                <c:pt idx="0">
                  <c:v>34000</c:v>
                </c:pt>
                <c:pt idx="1">
                  <c:v>16000</c:v>
                </c:pt>
                <c:pt idx="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6FB-A9ED-AE76DD9F5C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925824"/>
        <c:axId val="2929184"/>
      </c:barChart>
      <c:catAx>
        <c:axId val="29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184"/>
        <c:crosses val="autoZero"/>
        <c:auto val="1"/>
        <c:lblAlgn val="ctr"/>
        <c:lblOffset val="100"/>
        <c:noMultiLvlLbl val="0"/>
      </c:catAx>
      <c:valAx>
        <c:axId val="292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3</xdr:row>
      <xdr:rowOff>118110</xdr:rowOff>
    </xdr:from>
    <xdr:to>
      <xdr:col>10</xdr:col>
      <xdr:colOff>449580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2E94C-CE70-7331-5714-0E6A0C7F9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4</xdr:row>
      <xdr:rowOff>34290</xdr:rowOff>
    </xdr:from>
    <xdr:to>
      <xdr:col>10</xdr:col>
      <xdr:colOff>236220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A4CF2-3822-316D-95C5-5D181399C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57150</xdr:rowOff>
    </xdr:from>
    <xdr:to>
      <xdr:col>10</xdr:col>
      <xdr:colOff>342900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01E4B-821D-EF3D-45E5-E2BAA8C1E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67.979627314817" createdVersion="8" refreshedVersion="8" minRefreshableVersion="3" recordCount="9" xr:uid="{5F98F080-974F-4409-A42F-19FE6039B085}">
  <cacheSource type="worksheet">
    <worksheetSource ref="A1:E10" sheet="Orderss"/>
  </cacheSource>
  <cacheFields count="8">
    <cacheField name="order_id" numFmtId="0">
      <sharedItems containsSemiMixedTypes="0" containsString="0" containsNumber="1" containsInteger="1" minValue="1" maxValue="9"/>
    </cacheField>
    <cacheField name="customer_id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order_date" numFmtId="14">
      <sharedItems containsSemiMixedTypes="0" containsNonDate="0" containsDate="1" containsString="0" minDate="2023-01-10T00:00:00" maxDate="2024-05-02T00:00:00" count="9">
        <d v="2023-01-10T00:00:00"/>
        <d v="2023-03-12T00:00:00"/>
        <d v="2023-02-15T00:00:00"/>
        <d v="2023-04-20T00:00:00"/>
        <d v="2024-01-10T00:00:00"/>
        <d v="2024-02-12T00:00:00"/>
        <d v="2024-03-15T00:00:00"/>
        <d v="2024-04-18T00:00:00"/>
        <d v="2024-05-01T00:00:00"/>
      </sharedItems>
      <fieldGroup par="7"/>
    </cacheField>
    <cacheField name="order_amount" numFmtId="0">
      <sharedItems containsSemiMixedTypes="0" containsString="0" containsNumber="1" containsInteger="1" minValue="1000" maxValue="9000"/>
    </cacheField>
    <cacheField name="Total Customer Revenue" numFmtId="0">
      <sharedItems containsSemiMixedTypes="0" containsString="0" containsNumber="1" containsInteger="1" minValue="1000" maxValue="17000"/>
    </cacheField>
    <cacheField name="Months (order_date)" numFmtId="0" databaseField="0">
      <fieldGroup base="2">
        <rangePr groupBy="months" startDate="2023-01-10T00:00:00" endDate="2024-05-02T00:00:00"/>
        <groupItems count="14">
          <s v="&lt;10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4"/>
        </groupItems>
      </fieldGroup>
    </cacheField>
    <cacheField name="Quarters (order_date)" numFmtId="0" databaseField="0">
      <fieldGroup base="2">
        <rangePr groupBy="quarters" startDate="2023-01-10T00:00:00" endDate="2024-05-02T00:00:00"/>
        <groupItems count="6">
          <s v="&lt;10-01-2023"/>
          <s v="Qtr1"/>
          <s v="Qtr2"/>
          <s v="Qtr3"/>
          <s v="Qtr4"/>
          <s v="&gt;02-05-2024"/>
        </groupItems>
      </fieldGroup>
    </cacheField>
    <cacheField name="Years (order_date)" numFmtId="0" databaseField="0">
      <fieldGroup base="2">
        <rangePr groupBy="years" startDate="2023-01-10T00:00:00" endDate="2024-05-02T00:00:00"/>
        <groupItems count="4">
          <s v="&lt;10-01-2023"/>
          <s v="2023"/>
          <s v="2024"/>
          <s v="&gt;02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67.997806944448" createdVersion="8" refreshedVersion="8" minRefreshableVersion="3" recordCount="9" xr:uid="{041D5AD2-D1CA-44A7-850D-699329616175}">
  <cacheSource type="worksheet">
    <worksheetSource ref="A1:F10" sheet="Order_Item"/>
  </cacheSource>
  <cacheFields count="6">
    <cacheField name="item_id" numFmtId="0">
      <sharedItems containsSemiMixedTypes="0" containsString="0" containsNumber="1" containsInteger="1" minValue="1" maxValue="9"/>
    </cacheField>
    <cacheField name="order_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product_name" numFmtId="0">
      <sharedItems count="6">
        <s v="Laptop"/>
        <s v="Mouse"/>
        <s v="Phone"/>
        <s v="Keyboard"/>
        <s v="Tablet"/>
        <s v="Monitor"/>
      </sharedItems>
    </cacheField>
    <cacheField name="quantity" numFmtId="0">
      <sharedItems containsSemiMixedTypes="0" containsString="0" containsNumber="1" containsInteger="1" minValue="1" maxValue="2"/>
    </cacheField>
    <cacheField name="price" numFmtId="0">
      <sharedItems containsSemiMixedTypes="0" containsString="0" containsNumber="1" containsInteger="1" minValue="1000" maxValue="9000"/>
    </cacheField>
    <cacheField name="Quantity*Price" numFmtId="0">
      <sharedItems containsSemiMixedTypes="0" containsString="0" containsNumber="1" containsInteger="1" minValue="10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x v="0"/>
    <n v="5000"/>
    <n v="8000"/>
  </r>
  <r>
    <n v="2"/>
    <x v="0"/>
    <x v="1"/>
    <n v="3000"/>
    <n v="8000"/>
  </r>
  <r>
    <n v="3"/>
    <x v="1"/>
    <x v="2"/>
    <n v="7000"/>
    <n v="7000"/>
  </r>
  <r>
    <n v="4"/>
    <x v="2"/>
    <x v="3"/>
    <n v="2000"/>
    <n v="8000"/>
  </r>
  <r>
    <n v="5"/>
    <x v="2"/>
    <x v="4"/>
    <n v="6000"/>
    <n v="8000"/>
  </r>
  <r>
    <n v="6"/>
    <x v="3"/>
    <x v="5"/>
    <n v="4000"/>
    <n v="4000"/>
  </r>
  <r>
    <n v="7"/>
    <x v="4"/>
    <x v="6"/>
    <n v="8000"/>
    <n v="17000"/>
  </r>
  <r>
    <n v="8"/>
    <x v="4"/>
    <x v="7"/>
    <n v="9000"/>
    <n v="17000"/>
  </r>
  <r>
    <n v="9"/>
    <x v="5"/>
    <x v="8"/>
    <n v="1000"/>
    <n v="1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x v="0"/>
    <n v="1"/>
    <n v="5000"/>
    <n v="5000"/>
  </r>
  <r>
    <n v="2"/>
    <x v="1"/>
    <x v="1"/>
    <n v="2"/>
    <n v="1500"/>
    <n v="3000"/>
  </r>
  <r>
    <n v="3"/>
    <x v="2"/>
    <x v="2"/>
    <n v="1"/>
    <n v="7000"/>
    <n v="7000"/>
  </r>
  <r>
    <n v="4"/>
    <x v="3"/>
    <x v="3"/>
    <n v="1"/>
    <n v="2000"/>
    <n v="2000"/>
  </r>
  <r>
    <n v="5"/>
    <x v="4"/>
    <x v="4"/>
    <n v="1"/>
    <n v="6000"/>
    <n v="6000"/>
  </r>
  <r>
    <n v="6"/>
    <x v="5"/>
    <x v="5"/>
    <n v="1"/>
    <n v="4000"/>
    <n v="4000"/>
  </r>
  <r>
    <n v="7"/>
    <x v="6"/>
    <x v="0"/>
    <n v="1"/>
    <n v="8000"/>
    <n v="8000"/>
  </r>
  <r>
    <n v="8"/>
    <x v="7"/>
    <x v="2"/>
    <n v="1"/>
    <n v="9000"/>
    <n v="9000"/>
  </r>
  <r>
    <n v="9"/>
    <x v="8"/>
    <x v="1"/>
    <n v="1"/>
    <n v="10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A96B6-3749-4AB2-BAAF-6C5869D504A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Months">
  <location ref="A3:B8" firstHeaderRow="1" firstDataRow="1" firstDataCol="1"/>
  <pivotFields count="8">
    <pivotField showAll="0"/>
    <pivotField showAll="0"/>
    <pivotField axis="axisRow"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5"/>
    <field x="2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Monthly Revenue" fld="4" baseField="5" baseItem="1"/>
  </dataFields>
  <formats count="10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5">
            <x v="1"/>
            <x v="2"/>
            <x v="3"/>
            <x v="4"/>
            <x v="5"/>
          </reference>
        </references>
      </pivotArea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5" count="5">
            <x v="1"/>
            <x v="2"/>
            <x v="3"/>
            <x v="4"/>
            <x v="5"/>
          </reference>
        </references>
      </pivotArea>
    </format>
    <format dxfId="2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B9499-490F-4918-99A4-CF2306407B7D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Product_Name">
  <location ref="A3:B9" firstHeaderRow="1" firstDataRow="1" firstDataCol="1"/>
  <pivotFields count="6">
    <pivotField showAll="0"/>
    <pivotField showAll="0"/>
    <pivotField axis="axisRow" showAll="0">
      <items count="7">
        <item x="3"/>
        <item x="0"/>
        <item x="5"/>
        <item x="1"/>
        <item x="2"/>
        <item x="4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roduct Revenue" fld="5" baseField="2" baseItem="5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672AB-B864-42AF-A87F-0AB85BFAF4F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customer_id">
  <location ref="A3:B6" firstHeaderRow="1" firstDataRow="1" firstDataCol="1"/>
  <pivotFields count="8">
    <pivotField showAll="0"/>
    <pivotField axis="axisRow" showAll="0" measureFilter="1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3">
    <i>
      <x v="4"/>
    </i>
    <i>
      <x/>
    </i>
    <i>
      <x v="2"/>
    </i>
  </rowItems>
  <colItems count="1">
    <i/>
  </colItems>
  <dataFields count="1">
    <dataField name="Top 3 Customers" fld="4" baseField="1" baseItem="4"/>
  </dataFields>
  <formats count="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3">
            <x v="0"/>
            <x v="2"/>
            <x v="4"/>
          </reference>
        </references>
      </pivotArea>
    </format>
    <format dxfId="1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6211E-5B65-46D3-9A5E-D9CAAB4B0A94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_Name">
  <location ref="A3:B9" firstHeaderRow="1" firstDataRow="1" firstDataCol="1"/>
  <pivotFields count="6">
    <pivotField showAll="0"/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7">
        <item x="3"/>
        <item x="0"/>
        <item x="5"/>
        <item x="1"/>
        <item x="2"/>
        <item x="4"/>
        <item t="default"/>
      </items>
    </pivotField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roduct Count" fld="1" subtotal="count" baseField="2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5DBB-3D05-42A0-BEAD-E6D979F57859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ustomer_id">
  <location ref="A3:B10" firstHeaderRow="1" firstDataRow="1" firstDataCol="1"/>
  <pivotFields count="8"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7">
    <i>
      <x v="4"/>
    </i>
    <i>
      <x/>
    </i>
    <i>
      <x v="2"/>
    </i>
    <i>
      <x v="1"/>
    </i>
    <i>
      <x v="3"/>
    </i>
    <i>
      <x v="5"/>
    </i>
    <i t="grand">
      <x/>
    </i>
  </rowItems>
  <colItems count="1">
    <i/>
  </colItems>
  <dataFields count="1">
    <dataField name="Average Customer Revenue" fld="4" subtotal="average" baseField="1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789B-238B-4384-804A-33ADE0F5642F}">
  <dimension ref="A1:D7"/>
  <sheetViews>
    <sheetView tabSelected="1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0.33203125" bestFit="1" customWidth="1"/>
    <col min="4" max="4" width="12.44140625" bestFit="1" customWidth="1"/>
  </cols>
  <sheetData>
    <row r="1" spans="1:4" s="1" customFormat="1" ht="15.6" x14ac:dyDescent="0.3">
      <c r="A1" s="2" t="s">
        <v>10</v>
      </c>
      <c r="B1" s="2" t="s">
        <v>11</v>
      </c>
      <c r="C1" s="2" t="s">
        <v>12</v>
      </c>
      <c r="D1" s="2" t="s">
        <v>13</v>
      </c>
    </row>
    <row r="2" spans="1:4" ht="15.6" x14ac:dyDescent="0.3">
      <c r="A2" s="3">
        <v>1</v>
      </c>
      <c r="B2" s="3" t="s">
        <v>0</v>
      </c>
      <c r="C2" s="3" t="s">
        <v>1</v>
      </c>
      <c r="D2" s="4">
        <v>44206</v>
      </c>
    </row>
    <row r="3" spans="1:4" ht="15.6" x14ac:dyDescent="0.3">
      <c r="A3" s="3">
        <v>2</v>
      </c>
      <c r="B3" s="3" t="s">
        <v>2</v>
      </c>
      <c r="C3" s="3" t="s">
        <v>3</v>
      </c>
      <c r="D3" s="4">
        <v>44242</v>
      </c>
    </row>
    <row r="4" spans="1:4" ht="15.6" x14ac:dyDescent="0.3">
      <c r="A4" s="3">
        <v>3</v>
      </c>
      <c r="B4" s="3" t="s">
        <v>4</v>
      </c>
      <c r="C4" s="3" t="s">
        <v>5</v>
      </c>
      <c r="D4" s="4">
        <v>44732</v>
      </c>
    </row>
    <row r="5" spans="1:4" ht="15.6" x14ac:dyDescent="0.3">
      <c r="A5" s="3">
        <v>4</v>
      </c>
      <c r="B5" s="3" t="s">
        <v>6</v>
      </c>
      <c r="C5" s="3" t="s">
        <v>1</v>
      </c>
      <c r="D5" s="4">
        <v>44809</v>
      </c>
    </row>
    <row r="6" spans="1:4" ht="15.6" x14ac:dyDescent="0.3">
      <c r="A6" s="3">
        <v>5</v>
      </c>
      <c r="B6" s="3" t="s">
        <v>7</v>
      </c>
      <c r="C6" s="3" t="s">
        <v>8</v>
      </c>
      <c r="D6" s="4">
        <v>44958</v>
      </c>
    </row>
    <row r="7" spans="1:4" ht="15.6" x14ac:dyDescent="0.3">
      <c r="A7" s="3">
        <v>6</v>
      </c>
      <c r="B7" s="3" t="s">
        <v>9</v>
      </c>
      <c r="C7" s="3" t="s">
        <v>3</v>
      </c>
      <c r="D7" s="4">
        <v>45125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17C-9B33-4BFF-BD58-07385489D9B1}">
  <dimension ref="A1:F10"/>
  <sheetViews>
    <sheetView workbookViewId="0">
      <selection activeCell="G16" sqref="G16"/>
    </sheetView>
  </sheetViews>
  <sheetFormatPr defaultRowHeight="14.4" x14ac:dyDescent="0.3"/>
  <cols>
    <col min="1" max="1" width="8.109375" bestFit="1" customWidth="1"/>
    <col min="2" max="2" width="9" bestFit="1" customWidth="1"/>
    <col min="3" max="3" width="14.77734375" bestFit="1" customWidth="1"/>
    <col min="5" max="5" width="5.5546875" bestFit="1" customWidth="1"/>
    <col min="6" max="6" width="15" bestFit="1" customWidth="1"/>
  </cols>
  <sheetData>
    <row r="1" spans="1:6" s="1" customFormat="1" ht="15.6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40</v>
      </c>
    </row>
    <row r="2" spans="1:6" ht="15.6" x14ac:dyDescent="0.3">
      <c r="A2" s="3">
        <v>1</v>
      </c>
      <c r="B2" s="3">
        <v>1</v>
      </c>
      <c r="C2" s="3" t="s">
        <v>14</v>
      </c>
      <c r="D2" s="3">
        <v>1</v>
      </c>
      <c r="E2" s="3">
        <v>5000</v>
      </c>
      <c r="F2" s="3">
        <f xml:space="preserve"> D2 * E2</f>
        <v>5000</v>
      </c>
    </row>
    <row r="3" spans="1:6" ht="15.6" x14ac:dyDescent="0.3">
      <c r="A3" s="3">
        <v>2</v>
      </c>
      <c r="B3" s="3">
        <v>2</v>
      </c>
      <c r="C3" s="3" t="s">
        <v>15</v>
      </c>
      <c r="D3" s="3">
        <v>2</v>
      </c>
      <c r="E3" s="3">
        <v>1500</v>
      </c>
      <c r="F3" s="3">
        <f t="shared" ref="F3:F10" si="0" xml:space="preserve"> D3 * E3</f>
        <v>3000</v>
      </c>
    </row>
    <row r="4" spans="1:6" ht="15.6" x14ac:dyDescent="0.3">
      <c r="A4" s="3">
        <v>3</v>
      </c>
      <c r="B4" s="3">
        <v>3</v>
      </c>
      <c r="C4" s="3" t="s">
        <v>16</v>
      </c>
      <c r="D4" s="3">
        <v>1</v>
      </c>
      <c r="E4" s="3">
        <v>7000</v>
      </c>
      <c r="F4" s="3">
        <f t="shared" si="0"/>
        <v>7000</v>
      </c>
    </row>
    <row r="5" spans="1:6" ht="15.6" x14ac:dyDescent="0.3">
      <c r="A5" s="3">
        <v>4</v>
      </c>
      <c r="B5" s="3">
        <v>4</v>
      </c>
      <c r="C5" s="3" t="s">
        <v>17</v>
      </c>
      <c r="D5" s="3">
        <v>1</v>
      </c>
      <c r="E5" s="3">
        <v>2000</v>
      </c>
      <c r="F5" s="3">
        <f t="shared" si="0"/>
        <v>2000</v>
      </c>
    </row>
    <row r="6" spans="1:6" ht="15.6" x14ac:dyDescent="0.3">
      <c r="A6" s="3">
        <v>5</v>
      </c>
      <c r="B6" s="3">
        <v>5</v>
      </c>
      <c r="C6" s="3" t="s">
        <v>18</v>
      </c>
      <c r="D6" s="3">
        <v>1</v>
      </c>
      <c r="E6" s="3">
        <v>6000</v>
      </c>
      <c r="F6" s="3">
        <f t="shared" si="0"/>
        <v>6000</v>
      </c>
    </row>
    <row r="7" spans="1:6" ht="15.6" x14ac:dyDescent="0.3">
      <c r="A7" s="3">
        <v>6</v>
      </c>
      <c r="B7" s="3">
        <v>6</v>
      </c>
      <c r="C7" s="3" t="s">
        <v>19</v>
      </c>
      <c r="D7" s="3">
        <v>1</v>
      </c>
      <c r="E7" s="3">
        <v>4000</v>
      </c>
      <c r="F7" s="3">
        <f t="shared" si="0"/>
        <v>4000</v>
      </c>
    </row>
    <row r="8" spans="1:6" ht="15.6" x14ac:dyDescent="0.3">
      <c r="A8" s="3">
        <v>7</v>
      </c>
      <c r="B8" s="3">
        <v>7</v>
      </c>
      <c r="C8" s="3" t="s">
        <v>14</v>
      </c>
      <c r="D8" s="3">
        <v>1</v>
      </c>
      <c r="E8" s="3">
        <v>8000</v>
      </c>
      <c r="F8" s="3">
        <f t="shared" si="0"/>
        <v>8000</v>
      </c>
    </row>
    <row r="9" spans="1:6" ht="15.6" x14ac:dyDescent="0.3">
      <c r="A9" s="3">
        <v>8</v>
      </c>
      <c r="B9" s="3">
        <v>8</v>
      </c>
      <c r="C9" s="3" t="s">
        <v>16</v>
      </c>
      <c r="D9" s="3">
        <v>1</v>
      </c>
      <c r="E9" s="3">
        <v>9000</v>
      </c>
      <c r="F9" s="3">
        <f t="shared" si="0"/>
        <v>9000</v>
      </c>
    </row>
    <row r="10" spans="1:6" ht="15.6" x14ac:dyDescent="0.3">
      <c r="A10" s="3">
        <v>9</v>
      </c>
      <c r="B10" s="3">
        <v>9</v>
      </c>
      <c r="C10" s="3" t="s">
        <v>15</v>
      </c>
      <c r="D10" s="3">
        <v>1</v>
      </c>
      <c r="E10" s="3">
        <v>1000</v>
      </c>
      <c r="F10" s="3">
        <f t="shared" si="0"/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2363-E0F7-4439-9646-6608AFA836CE}">
  <dimension ref="A1:F12"/>
  <sheetViews>
    <sheetView workbookViewId="0">
      <selection activeCell="C13" sqref="C13"/>
    </sheetView>
  </sheetViews>
  <sheetFormatPr defaultRowHeight="14.4" x14ac:dyDescent="0.3"/>
  <cols>
    <col min="1" max="1" width="9" bestFit="1" customWidth="1"/>
    <col min="2" max="2" width="12.5546875" bestFit="1" customWidth="1"/>
    <col min="3" max="3" width="11.44140625" bestFit="1" customWidth="1"/>
    <col min="4" max="4" width="14.6640625" bestFit="1" customWidth="1"/>
    <col min="5" max="6" width="24.21875" bestFit="1" customWidth="1"/>
  </cols>
  <sheetData>
    <row r="1" spans="1:6" s="1" customFormat="1" ht="15.6" x14ac:dyDescent="0.3">
      <c r="A1" s="2" t="s">
        <v>21</v>
      </c>
      <c r="B1" s="2" t="s">
        <v>10</v>
      </c>
      <c r="C1" s="2" t="s">
        <v>25</v>
      </c>
      <c r="D1" s="2" t="s">
        <v>26</v>
      </c>
      <c r="E1" s="2" t="s">
        <v>31</v>
      </c>
      <c r="F1" s="2"/>
    </row>
    <row r="2" spans="1:6" ht="15.6" x14ac:dyDescent="0.3">
      <c r="A2" s="3">
        <v>1</v>
      </c>
      <c r="B2" s="3">
        <v>1</v>
      </c>
      <c r="C2" s="4">
        <v>44936</v>
      </c>
      <c r="D2" s="3">
        <v>5000</v>
      </c>
      <c r="E2" s="3">
        <f>SUMIF($B$2:$B$10, B2, $D$2:$D$10)</f>
        <v>8000</v>
      </c>
      <c r="F2" s="3"/>
    </row>
    <row r="3" spans="1:6" ht="15.6" x14ac:dyDescent="0.3">
      <c r="A3" s="3">
        <v>2</v>
      </c>
      <c r="B3" s="3">
        <v>1</v>
      </c>
      <c r="C3" s="4">
        <v>44997</v>
      </c>
      <c r="D3" s="3">
        <v>3000</v>
      </c>
      <c r="E3" s="3">
        <f t="shared" ref="E3:E9" si="0">SUMIF($B$2:$B$10, B3, $D$2:$D$10)</f>
        <v>8000</v>
      </c>
      <c r="F3" s="3"/>
    </row>
    <row r="4" spans="1:6" ht="15.6" x14ac:dyDescent="0.3">
      <c r="A4" s="3">
        <v>3</v>
      </c>
      <c r="B4" s="3">
        <v>2</v>
      </c>
      <c r="C4" s="4">
        <v>44972</v>
      </c>
      <c r="D4" s="3">
        <v>7000</v>
      </c>
      <c r="E4" s="3">
        <f t="shared" si="0"/>
        <v>7000</v>
      </c>
      <c r="F4" s="3"/>
    </row>
    <row r="5" spans="1:6" ht="15.6" x14ac:dyDescent="0.3">
      <c r="A5" s="3">
        <v>4</v>
      </c>
      <c r="B5" s="3">
        <v>3</v>
      </c>
      <c r="C5" s="4">
        <v>45036</v>
      </c>
      <c r="D5" s="3">
        <v>2000</v>
      </c>
      <c r="E5" s="3">
        <f t="shared" si="0"/>
        <v>8000</v>
      </c>
      <c r="F5" s="3"/>
    </row>
    <row r="6" spans="1:6" ht="15.6" x14ac:dyDescent="0.3">
      <c r="A6" s="3">
        <v>5</v>
      </c>
      <c r="B6" s="3">
        <v>3</v>
      </c>
      <c r="C6" s="4">
        <v>45301</v>
      </c>
      <c r="D6" s="3">
        <v>6000</v>
      </c>
      <c r="E6" s="3">
        <f t="shared" si="0"/>
        <v>8000</v>
      </c>
      <c r="F6" s="3"/>
    </row>
    <row r="7" spans="1:6" ht="15.6" x14ac:dyDescent="0.3">
      <c r="A7" s="3">
        <v>6</v>
      </c>
      <c r="B7" s="3">
        <v>4</v>
      </c>
      <c r="C7" s="4">
        <v>45334</v>
      </c>
      <c r="D7" s="3">
        <v>4000</v>
      </c>
      <c r="E7" s="3">
        <f t="shared" si="0"/>
        <v>4000</v>
      </c>
      <c r="F7" s="3"/>
    </row>
    <row r="8" spans="1:6" ht="15.6" x14ac:dyDescent="0.3">
      <c r="A8" s="3">
        <v>7</v>
      </c>
      <c r="B8" s="3">
        <v>5</v>
      </c>
      <c r="C8" s="4">
        <v>45366</v>
      </c>
      <c r="D8" s="3">
        <v>8000</v>
      </c>
      <c r="E8" s="3">
        <f t="shared" si="0"/>
        <v>17000</v>
      </c>
      <c r="F8" s="3"/>
    </row>
    <row r="9" spans="1:6" ht="15.6" x14ac:dyDescent="0.3">
      <c r="A9" s="3">
        <v>8</v>
      </c>
      <c r="B9" s="3">
        <v>5</v>
      </c>
      <c r="C9" s="4">
        <v>45400</v>
      </c>
      <c r="D9" s="3">
        <v>9000</v>
      </c>
      <c r="E9" s="3">
        <f t="shared" si="0"/>
        <v>17000</v>
      </c>
      <c r="F9" s="3"/>
    </row>
    <row r="10" spans="1:6" ht="15.6" x14ac:dyDescent="0.3">
      <c r="A10" s="3">
        <v>9</v>
      </c>
      <c r="B10" s="3">
        <v>6</v>
      </c>
      <c r="C10" s="4">
        <v>45413</v>
      </c>
      <c r="D10" s="3">
        <v>1000</v>
      </c>
      <c r="E10" s="3">
        <f>SUMIF($B$2:$B$10, B10, $D$2:$D$10)</f>
        <v>1000</v>
      </c>
      <c r="F10" s="3"/>
    </row>
    <row r="12" spans="1:6" x14ac:dyDescent="0.3">
      <c r="D1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1797-C60B-4630-B259-09DCE99BB170}">
  <dimension ref="A1:D2"/>
  <sheetViews>
    <sheetView workbookViewId="0">
      <selection activeCell="B22" sqref="B22"/>
    </sheetView>
  </sheetViews>
  <sheetFormatPr defaultRowHeight="14.4" x14ac:dyDescent="0.3"/>
  <cols>
    <col min="1" max="1" width="18.6640625" bestFit="1" customWidth="1"/>
    <col min="2" max="2" width="16.33203125" bestFit="1" customWidth="1"/>
    <col min="3" max="3" width="27.88671875" bestFit="1" customWidth="1"/>
    <col min="4" max="4" width="29.88671875" bestFit="1" customWidth="1"/>
  </cols>
  <sheetData>
    <row r="1" spans="1:4" ht="21" x14ac:dyDescent="0.4">
      <c r="A1" s="5" t="s">
        <v>27</v>
      </c>
      <c r="B1" s="5" t="s">
        <v>28</v>
      </c>
      <c r="C1" s="5" t="s">
        <v>29</v>
      </c>
      <c r="D1" s="5" t="s">
        <v>30</v>
      </c>
    </row>
    <row r="2" spans="1:4" ht="31.2" x14ac:dyDescent="0.6">
      <c r="A2" s="6">
        <f>SUM(Orderss!D2:D10)</f>
        <v>45000</v>
      </c>
      <c r="B2" s="6">
        <f>COUNT(Orderss!A2:A10)</f>
        <v>9</v>
      </c>
      <c r="C2" s="6">
        <f>AVERAGE(Orderss!D2:D10)</f>
        <v>5000</v>
      </c>
      <c r="D2" s="6">
        <f>MAX(Orderss!E2:E10)</f>
        <v>17000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4058-FF0C-4284-A484-A9A1BAB0328A}">
  <dimension ref="A3:B8"/>
  <sheetViews>
    <sheetView workbookViewId="0">
      <selection activeCell="B17" sqref="B17"/>
    </sheetView>
  </sheetViews>
  <sheetFormatPr defaultRowHeight="14.4" x14ac:dyDescent="0.3"/>
  <cols>
    <col min="1" max="1" width="10.44140625" bestFit="1" customWidth="1"/>
    <col min="2" max="2" width="17.6640625" bestFit="1" customWidth="1"/>
  </cols>
  <sheetData>
    <row r="3" spans="1:2" ht="15.6" x14ac:dyDescent="0.3">
      <c r="A3" s="7" t="s">
        <v>39</v>
      </c>
      <c r="B3" s="3" t="s">
        <v>38</v>
      </c>
    </row>
    <row r="4" spans="1:2" ht="15.6" x14ac:dyDescent="0.3">
      <c r="A4" s="8" t="s">
        <v>33</v>
      </c>
      <c r="B4" s="3">
        <v>16000</v>
      </c>
    </row>
    <row r="5" spans="1:2" ht="15.6" x14ac:dyDescent="0.3">
      <c r="A5" s="8" t="s">
        <v>34</v>
      </c>
      <c r="B5" s="3">
        <v>11000</v>
      </c>
    </row>
    <row r="6" spans="1:2" ht="15.6" x14ac:dyDescent="0.3">
      <c r="A6" s="8" t="s">
        <v>35</v>
      </c>
      <c r="B6" s="3">
        <v>25000</v>
      </c>
    </row>
    <row r="7" spans="1:2" ht="15.6" x14ac:dyDescent="0.3">
      <c r="A7" s="8" t="s">
        <v>36</v>
      </c>
      <c r="B7" s="3">
        <v>25000</v>
      </c>
    </row>
    <row r="8" spans="1:2" ht="15.6" x14ac:dyDescent="0.3">
      <c r="A8" s="8" t="s">
        <v>37</v>
      </c>
      <c r="B8" s="3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E5AF-7FA3-4E94-BB6D-FA1F411311CB}">
  <dimension ref="A3:B10"/>
  <sheetViews>
    <sheetView workbookViewId="0">
      <selection activeCell="M14" sqref="M14"/>
    </sheetView>
  </sheetViews>
  <sheetFormatPr defaultRowHeight="14.4" x14ac:dyDescent="0.3"/>
  <cols>
    <col min="1" max="1" width="17.21875" bestFit="1" customWidth="1"/>
    <col min="2" max="2" width="17" bestFit="1" customWidth="1"/>
  </cols>
  <sheetData>
    <row r="3" spans="1:2" ht="15.6" x14ac:dyDescent="0.3">
      <c r="A3" s="7" t="s">
        <v>42</v>
      </c>
      <c r="B3" s="3" t="s">
        <v>41</v>
      </c>
    </row>
    <row r="4" spans="1:2" ht="15.6" x14ac:dyDescent="0.3">
      <c r="A4" s="8" t="s">
        <v>17</v>
      </c>
      <c r="B4" s="3">
        <v>2000</v>
      </c>
    </row>
    <row r="5" spans="1:2" ht="15.6" x14ac:dyDescent="0.3">
      <c r="A5" s="8" t="s">
        <v>14</v>
      </c>
      <c r="B5" s="3">
        <v>13000</v>
      </c>
    </row>
    <row r="6" spans="1:2" ht="15.6" x14ac:dyDescent="0.3">
      <c r="A6" s="8" t="s">
        <v>19</v>
      </c>
      <c r="B6" s="3">
        <v>4000</v>
      </c>
    </row>
    <row r="7" spans="1:2" ht="15.6" x14ac:dyDescent="0.3">
      <c r="A7" s="8" t="s">
        <v>15</v>
      </c>
      <c r="B7" s="3">
        <v>4000</v>
      </c>
    </row>
    <row r="8" spans="1:2" ht="15.6" x14ac:dyDescent="0.3">
      <c r="A8" s="8" t="s">
        <v>16</v>
      </c>
      <c r="B8" s="3">
        <v>16000</v>
      </c>
    </row>
    <row r="9" spans="1:2" ht="15.6" x14ac:dyDescent="0.3">
      <c r="A9" s="8" t="s">
        <v>18</v>
      </c>
      <c r="B9" s="3">
        <v>6000</v>
      </c>
    </row>
    <row r="10" spans="1:2" ht="15.6" x14ac:dyDescent="0.3"/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4827-E102-43CC-870E-77FD457A3853}">
  <dimension ref="A3:B6"/>
  <sheetViews>
    <sheetView workbookViewId="0">
      <selection activeCell="M11" sqref="M11"/>
    </sheetView>
  </sheetViews>
  <sheetFormatPr defaultRowHeight="14.4" x14ac:dyDescent="0.3"/>
  <cols>
    <col min="1" max="1" width="14.77734375" bestFit="1" customWidth="1"/>
    <col min="2" max="2" width="16.77734375" bestFit="1" customWidth="1"/>
  </cols>
  <sheetData>
    <row r="3" spans="1:2" ht="15.6" x14ac:dyDescent="0.3">
      <c r="A3" s="7" t="s">
        <v>10</v>
      </c>
      <c r="B3" s="3" t="s">
        <v>44</v>
      </c>
    </row>
    <row r="4" spans="1:2" ht="15.6" x14ac:dyDescent="0.3">
      <c r="A4" s="8">
        <v>5</v>
      </c>
      <c r="B4" s="3">
        <v>34000</v>
      </c>
    </row>
    <row r="5" spans="1:2" ht="15.6" x14ac:dyDescent="0.3">
      <c r="A5" s="8">
        <v>1</v>
      </c>
      <c r="B5" s="3">
        <v>16000</v>
      </c>
    </row>
    <row r="6" spans="1:2" ht="15.6" x14ac:dyDescent="0.3">
      <c r="A6" s="8">
        <v>3</v>
      </c>
      <c r="B6" s="3">
        <v>16000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3BD9-8663-49DB-BE81-1A458256A4F9}">
  <dimension ref="A3:B10"/>
  <sheetViews>
    <sheetView workbookViewId="0">
      <selection activeCell="F15" sqref="F15"/>
    </sheetView>
  </sheetViews>
  <sheetFormatPr defaultRowHeight="14.4" x14ac:dyDescent="0.3"/>
  <cols>
    <col min="1" max="1" width="17.21875" bestFit="1" customWidth="1"/>
    <col min="2" max="2" width="14.6640625" bestFit="1" customWidth="1"/>
  </cols>
  <sheetData>
    <row r="3" spans="1:2" ht="15.6" x14ac:dyDescent="0.3">
      <c r="A3" s="7" t="s">
        <v>42</v>
      </c>
      <c r="B3" s="3" t="s">
        <v>45</v>
      </c>
    </row>
    <row r="4" spans="1:2" ht="15.6" x14ac:dyDescent="0.3">
      <c r="A4" s="8" t="s">
        <v>17</v>
      </c>
      <c r="B4" s="3">
        <v>1</v>
      </c>
    </row>
    <row r="5" spans="1:2" ht="15.6" x14ac:dyDescent="0.3">
      <c r="A5" s="8" t="s">
        <v>14</v>
      </c>
      <c r="B5" s="3">
        <v>2</v>
      </c>
    </row>
    <row r="6" spans="1:2" ht="15.6" x14ac:dyDescent="0.3">
      <c r="A6" s="8" t="s">
        <v>19</v>
      </c>
      <c r="B6" s="3">
        <v>1</v>
      </c>
    </row>
    <row r="7" spans="1:2" ht="15.6" x14ac:dyDescent="0.3">
      <c r="A7" s="8" t="s">
        <v>15</v>
      </c>
      <c r="B7" s="3">
        <v>2</v>
      </c>
    </row>
    <row r="8" spans="1:2" ht="15.6" x14ac:dyDescent="0.3">
      <c r="A8" s="8" t="s">
        <v>16</v>
      </c>
      <c r="B8" s="3">
        <v>2</v>
      </c>
    </row>
    <row r="9" spans="1:2" ht="15.6" x14ac:dyDescent="0.3">
      <c r="A9" s="8" t="s">
        <v>18</v>
      </c>
      <c r="B9" s="3">
        <v>1</v>
      </c>
    </row>
    <row r="10" spans="1:2" ht="15.6" x14ac:dyDescent="0.3"/>
  </sheetData>
  <conditionalFormatting pivot="1" sqref="B4:B9">
    <cfRule type="expression" dxfId="16" priority="3">
      <formula>B1048575=MAX($B$4:$B$9)</formula>
    </cfRule>
  </conditionalFormatting>
  <conditionalFormatting pivot="1" sqref="B4">
    <cfRule type="expression" dxfId="15" priority="2">
      <formula>B4=MAX($B$4:$B$9)</formula>
    </cfRule>
  </conditionalFormatting>
  <conditionalFormatting pivot="1" sqref="B4:B9">
    <cfRule type="expression" dxfId="14" priority="1">
      <formula>B4=MAX($B$4:$B$9)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671F-9E96-48F5-847D-226915C7AA86}">
  <dimension ref="A3:B10"/>
  <sheetViews>
    <sheetView workbookViewId="0">
      <selection activeCell="C19" sqref="C19"/>
    </sheetView>
  </sheetViews>
  <sheetFormatPr defaultRowHeight="14.4" x14ac:dyDescent="0.3"/>
  <cols>
    <col min="1" max="1" width="14.77734375" bestFit="1" customWidth="1"/>
    <col min="2" max="2" width="27" bestFit="1" customWidth="1"/>
  </cols>
  <sheetData>
    <row r="3" spans="1:2" ht="15.6" x14ac:dyDescent="0.3">
      <c r="A3" s="7" t="s">
        <v>10</v>
      </c>
      <c r="B3" s="3" t="s">
        <v>46</v>
      </c>
    </row>
    <row r="4" spans="1:2" ht="15.6" x14ac:dyDescent="0.3">
      <c r="A4" s="8">
        <v>5</v>
      </c>
      <c r="B4" s="3">
        <v>17000</v>
      </c>
    </row>
    <row r="5" spans="1:2" ht="15.6" x14ac:dyDescent="0.3">
      <c r="A5" s="8">
        <v>1</v>
      </c>
      <c r="B5" s="3">
        <v>8000</v>
      </c>
    </row>
    <row r="6" spans="1:2" ht="15.6" x14ac:dyDescent="0.3">
      <c r="A6" s="8">
        <v>3</v>
      </c>
      <c r="B6" s="3">
        <v>8000</v>
      </c>
    </row>
    <row r="7" spans="1:2" ht="15.6" x14ac:dyDescent="0.3">
      <c r="A7" s="8">
        <v>2</v>
      </c>
      <c r="B7" s="3">
        <v>7000</v>
      </c>
    </row>
    <row r="8" spans="1:2" ht="15.6" x14ac:dyDescent="0.3">
      <c r="A8" s="8">
        <v>4</v>
      </c>
      <c r="B8" s="3">
        <v>4000</v>
      </c>
    </row>
    <row r="9" spans="1:2" ht="15.6" x14ac:dyDescent="0.3">
      <c r="A9" s="8">
        <v>6</v>
      </c>
      <c r="B9" s="3">
        <v>1000</v>
      </c>
    </row>
    <row r="10" spans="1:2" ht="15.6" x14ac:dyDescent="0.3">
      <c r="A10" s="8" t="s">
        <v>32</v>
      </c>
      <c r="B10" s="3">
        <v>8666.6666666666661</v>
      </c>
    </row>
  </sheetData>
  <conditionalFormatting pivot="1" sqref="B4:B10">
    <cfRule type="expression" priority="3">
      <formula>B4=AVG($B$4:$B$10)</formula>
    </cfRule>
  </conditionalFormatting>
  <conditionalFormatting pivot="1" sqref="B4:B10">
    <cfRule type="expression" dxfId="7" priority="2">
      <formula>B4=AVG($B$4:$B$10)</formula>
    </cfRule>
  </conditionalFormatting>
  <conditionalFormatting pivot="1" sqref="B4:B10">
    <cfRule type="expression" dxfId="6" priority="1">
      <formula>B4 &gt; $B$10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Customerss</vt:lpstr>
      <vt:lpstr>Order_Item</vt:lpstr>
      <vt:lpstr>Orderss</vt:lpstr>
      <vt:lpstr>KPI's</vt:lpstr>
      <vt:lpstr>Monthly Revenue</vt:lpstr>
      <vt:lpstr>Product Revenue</vt:lpstr>
      <vt:lpstr>Top Customers</vt:lpstr>
      <vt:lpstr>Cond. Formatting(Top Product)</vt:lpstr>
      <vt:lpstr>Cond. Formatting(Cust. Above 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Thapa</dc:creator>
  <cp:lastModifiedBy>Akshit Thapa</cp:lastModifiedBy>
  <dcterms:created xsi:type="dcterms:W3CDTF">2026-02-13T18:09:58Z</dcterms:created>
  <dcterms:modified xsi:type="dcterms:W3CDTF">2026-04-17T06:28:15Z</dcterms:modified>
</cp:coreProperties>
</file>